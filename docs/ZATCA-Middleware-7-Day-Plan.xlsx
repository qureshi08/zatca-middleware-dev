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Plan" sheetId="1" state="visible" r:id="rId1"/>
    <sheet xmlns:r="http://schemas.openxmlformats.org/officeDocument/2006/relationships" name="Status Summary" sheetId="2" state="visible" r:id="rId2"/>
  </sheets>
  <definedNames>
    <definedName name="_xlnm._FilterDatabase" localSheetId="0" hidden="1">'7-Day Plan'!$A$1:$K$40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6B7785"/>
      <sz val="9"/>
    </font>
    <font>
      <name val="Arial"/>
      <b val="1"/>
      <color rgb="001F9D57"/>
      <sz val="10"/>
    </font>
    <font>
      <name val="Arial"/>
      <b val="1"/>
      <color rgb="006B7785"/>
      <sz val="10"/>
    </font>
    <font>
      <name val="Arial"/>
      <b val="1"/>
      <color rgb="008A5A00"/>
      <sz val="10"/>
    </font>
    <font>
      <name val="Arial"/>
      <b val="1"/>
      <color rgb="001F6FB2"/>
      <sz val="14"/>
    </font>
    <font>
      <name val="Arial"/>
      <color rgb="006B7785"/>
      <sz val="10"/>
    </font>
    <font>
      <name val="Arial"/>
      <b val="1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F2233"/>
      </patternFill>
    </fill>
    <fill>
      <patternFill patternType="solid">
        <fgColor rgb="00E6F6E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2F5F9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4" fillId="3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14" customWidth="1" min="4" max="4"/>
    <col width="46" customWidth="1" min="5" max="5"/>
    <col width="40" customWidth="1" min="6" max="6"/>
    <col width="14" customWidth="1" min="7" max="7"/>
    <col width="14" customWidth="1" min="8" max="8"/>
    <col width="13" customWidth="1" min="9" max="9"/>
    <col width="13" customWidth="1" min="10" max="10"/>
    <col width="26" customWidth="1" min="11" max="11"/>
  </cols>
  <sheetData>
    <row r="1" ht="28" customHeight="1">
      <c r="A1" s="1" t="inlineStr">
        <is>
          <t>#</t>
        </is>
      </c>
      <c r="B1" s="1" t="inlineStr">
        <is>
          <t>Day</t>
        </is>
      </c>
      <c r="C1" s="1" t="inlineStr">
        <is>
          <t>Theme</t>
        </is>
      </c>
      <c r="D1" s="1" t="inlineStr">
        <is>
          <t>Phase</t>
        </is>
      </c>
      <c r="E1" s="1" t="inlineStr">
        <is>
          <t>Task</t>
        </is>
      </c>
      <c r="F1" s="1" t="inlineStr">
        <is>
          <t>Deliverable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Notes</t>
        </is>
      </c>
    </row>
    <row r="2">
      <c r="A2" s="2" t="n">
        <v>1</v>
      </c>
      <c r="B2" s="3" t="n">
        <v>1</v>
      </c>
      <c r="C2" s="4" t="inlineStr">
        <is>
          <t>Foundation &amp; Infrastructure</t>
        </is>
      </c>
      <c r="D2" s="5" t="inlineStr">
        <is>
          <t>Foundation</t>
        </is>
      </c>
      <c r="E2" s="5" t="inlineStr">
        <is>
          <t>Unify the two repos into zatca-middleware-dev</t>
        </is>
      </c>
      <c r="F2" s="5" t="inlineStr">
        <is>
          <t>Single Next.js + Supabase app, builds green</t>
        </is>
      </c>
      <c r="G2" s="2" t="inlineStr">
        <is>
          <t>Claude</t>
        </is>
      </c>
      <c r="H2" s="6" t="inlineStr">
        <is>
          <t>Done</t>
        </is>
      </c>
      <c r="I2" s="2" t="inlineStr"/>
      <c r="J2" s="2" t="inlineStr"/>
      <c r="K2" s="5" t="inlineStr">
        <is>
          <t>Pushed</t>
        </is>
      </c>
    </row>
    <row r="3">
      <c r="A3" s="2" t="n">
        <v>2</v>
      </c>
      <c r="B3" s="3" t="n">
        <v>1</v>
      </c>
      <c r="C3" s="4" t="inlineStr">
        <is>
          <t>Foundation &amp; Infrastructure</t>
        </is>
      </c>
      <c r="D3" s="5" t="inlineStr">
        <is>
          <t>Foundation</t>
        </is>
      </c>
      <c r="E3" s="5" t="inlineStr">
        <is>
          <t>Supabase schema + migrations + RLS</t>
        </is>
      </c>
      <c r="F3" s="5" t="inlineStr">
        <is>
          <t>10 tables, tenant isolation</t>
        </is>
      </c>
      <c r="G3" s="2" t="inlineStr">
        <is>
          <t>Claude</t>
        </is>
      </c>
      <c r="H3" s="6" t="inlineStr">
        <is>
          <t>Done</t>
        </is>
      </c>
      <c r="I3" s="2" t="inlineStr"/>
      <c r="J3" s="2" t="inlineStr"/>
      <c r="K3" s="5" t="inlineStr">
        <is>
          <t>migrations 001-003</t>
        </is>
      </c>
    </row>
    <row r="4">
      <c r="A4" s="2" t="n">
        <v>3</v>
      </c>
      <c r="B4" s="3" t="n">
        <v>1</v>
      </c>
      <c r="C4" s="4" t="inlineStr">
        <is>
          <t>Foundation &amp; Infrastructure</t>
        </is>
      </c>
      <c r="D4" s="5" t="inlineStr">
        <is>
          <t>Foundation</t>
        </is>
      </c>
      <c r="E4" s="5" t="inlineStr">
        <is>
          <t>Google authentication (Supabase Auth) + sessions</t>
        </is>
      </c>
      <c r="F4" s="5" t="inlineStr">
        <is>
          <t>Login works end-to-end</t>
        </is>
      </c>
      <c r="G4" s="2" t="inlineStr">
        <is>
          <t>Claude</t>
        </is>
      </c>
      <c r="H4" s="6" t="inlineStr">
        <is>
          <t>Done</t>
        </is>
      </c>
      <c r="I4" s="2" t="inlineStr"/>
      <c r="J4" s="2" t="inlineStr"/>
      <c r="K4" s="5" t="inlineStr">
        <is>
          <t>verified</t>
        </is>
      </c>
    </row>
    <row r="5">
      <c r="A5" s="2" t="n">
        <v>4</v>
      </c>
      <c r="B5" s="3" t="n">
        <v>1</v>
      </c>
      <c r="C5" s="4" t="inlineStr">
        <is>
          <t>Foundation &amp; Infrastructure</t>
        </is>
      </c>
      <c r="D5" s="5" t="inlineStr">
        <is>
          <t>Foundation</t>
        </is>
      </c>
      <c r="E5" s="5" t="inlineStr">
        <is>
          <t>Multi-tenant isolation + tenant bootstrap</t>
        </is>
      </c>
      <c r="F5" s="5" t="inlineStr">
        <is>
          <t>Org + membership on first login</t>
        </is>
      </c>
      <c r="G5" s="2" t="inlineStr">
        <is>
          <t>Claude</t>
        </is>
      </c>
      <c r="H5" s="6" t="inlineStr">
        <is>
          <t>Done</t>
        </is>
      </c>
      <c r="I5" s="2" t="inlineStr"/>
      <c r="J5" s="2" t="inlineStr"/>
      <c r="K5" s="5" t="inlineStr">
        <is>
          <t>DB-verified</t>
        </is>
      </c>
    </row>
    <row r="6">
      <c r="A6" s="2" t="n">
        <v>5</v>
      </c>
      <c r="B6" s="3" t="n">
        <v>1</v>
      </c>
      <c r="C6" s="4" t="inlineStr">
        <is>
          <t>Foundation &amp; Infrastructure</t>
        </is>
      </c>
      <c r="D6" s="5" t="inlineStr">
        <is>
          <t>Foundation</t>
        </is>
      </c>
      <c r="E6" s="5" t="inlineStr">
        <is>
          <t>Secret encryption (AES-256-GCM)</t>
        </is>
      </c>
      <c r="F6" s="5" t="inlineStr">
        <is>
          <t>Credentials/keys encrypted at rest</t>
        </is>
      </c>
      <c r="G6" s="2" t="inlineStr">
        <is>
          <t>Claude</t>
        </is>
      </c>
      <c r="H6" s="6" t="inlineStr">
        <is>
          <t>Done</t>
        </is>
      </c>
      <c r="I6" s="2" t="inlineStr"/>
      <c r="J6" s="2" t="inlineStr"/>
      <c r="K6" s="5" t="inlineStr"/>
    </row>
    <row r="7">
      <c r="A7" s="2" t="n">
        <v>6</v>
      </c>
      <c r="B7" s="3" t="n">
        <v>1</v>
      </c>
      <c r="C7" s="4" t="inlineStr">
        <is>
          <t>Foundation &amp; Infrastructure</t>
        </is>
      </c>
      <c r="D7" s="5" t="inlineStr">
        <is>
          <t>Foundation</t>
        </is>
      </c>
      <c r="E7" s="5" t="inlineStr">
        <is>
          <t>Env config + ZATCA env resolver (Demo/Real)</t>
        </is>
      </c>
      <c r="F7" s="5" t="inlineStr">
        <is>
          <t>Configurable endpoints</t>
        </is>
      </c>
      <c r="G7" s="2" t="inlineStr">
        <is>
          <t>Claude</t>
        </is>
      </c>
      <c r="H7" s="6" t="inlineStr">
        <is>
          <t>Done</t>
        </is>
      </c>
      <c r="I7" s="2" t="inlineStr"/>
      <c r="J7" s="2" t="inlineStr"/>
      <c r="K7" s="5" t="inlineStr"/>
    </row>
    <row r="8">
      <c r="A8" s="2" t="n">
        <v>7</v>
      </c>
      <c r="B8" s="7" t="n">
        <v>2</v>
      </c>
      <c r="C8" s="4" t="inlineStr">
        <is>
          <t>ZATCA Core &amp; Onboarding</t>
        </is>
      </c>
      <c r="D8" s="5" t="inlineStr">
        <is>
          <t>ZATCA Core</t>
        </is>
      </c>
      <c r="E8" s="5" t="inlineStr">
        <is>
          <t>Consolidate shared core (UBL XML, signing, QR)</t>
        </is>
      </c>
      <c r="F8" s="5" t="inlineStr">
        <is>
          <t>Proven core in unified app</t>
        </is>
      </c>
      <c r="G8" s="2" t="inlineStr">
        <is>
          <t>Claude</t>
        </is>
      </c>
      <c r="H8" s="6" t="inlineStr">
        <is>
          <t>Done</t>
        </is>
      </c>
      <c r="I8" s="2" t="inlineStr"/>
      <c r="J8" s="2" t="inlineStr"/>
      <c r="K8" s="5" t="inlineStr">
        <is>
          <t>from tested repos</t>
        </is>
      </c>
    </row>
    <row r="9">
      <c r="A9" s="2" t="n">
        <v>8</v>
      </c>
      <c r="B9" s="7" t="n">
        <v>2</v>
      </c>
      <c r="C9" s="4" t="inlineStr">
        <is>
          <t>ZATCA Core &amp; Onboarding</t>
        </is>
      </c>
      <c r="D9" s="5" t="inlineStr">
        <is>
          <t>ZATCA Core</t>
        </is>
      </c>
      <c r="E9" s="5" t="inlineStr">
        <is>
          <t>Wire onboarding (CSR -&gt; compliance -&gt; production) per tenant</t>
        </is>
      </c>
      <c r="F9" s="5" t="inlineStr">
        <is>
          <t>Run onboarding per tenant</t>
        </is>
      </c>
      <c r="G9" s="2" t="inlineStr">
        <is>
          <t>Claude</t>
        </is>
      </c>
      <c r="H9" s="6" t="inlineStr">
        <is>
          <t>Done</t>
        </is>
      </c>
      <c r="I9" s="2" t="inlineStr"/>
      <c r="J9" s="2" t="inlineStr"/>
      <c r="K9" s="5" t="inlineStr">
        <is>
          <t>simulation, OTP 123456</t>
        </is>
      </c>
    </row>
    <row r="10">
      <c r="A10" s="2" t="n">
        <v>9</v>
      </c>
      <c r="B10" s="7" t="n">
        <v>2</v>
      </c>
      <c r="C10" s="4" t="inlineStr">
        <is>
          <t>ZATCA Core &amp; Onboarding</t>
        </is>
      </c>
      <c r="D10" s="5" t="inlineStr">
        <is>
          <t>ZATCA Core</t>
        </is>
      </c>
      <c r="E10" s="5" t="inlineStr">
        <is>
          <t>Fix production CSID (real cert, not placeholder)</t>
        </is>
      </c>
      <c r="F10" s="5" t="inlineStr">
        <is>
          <t>Valid production CSID</t>
        </is>
      </c>
      <c r="G10" s="2" t="inlineStr">
        <is>
          <t>Claude</t>
        </is>
      </c>
      <c r="H10" s="8" t="inlineStr">
        <is>
          <t>To Do</t>
        </is>
      </c>
      <c r="I10" s="2" t="inlineStr"/>
      <c r="J10" s="2" t="inlineStr"/>
      <c r="K10" s="5" t="inlineStr">
        <is>
          <t>audit finding</t>
        </is>
      </c>
    </row>
    <row r="11">
      <c r="A11" s="2" t="n">
        <v>10</v>
      </c>
      <c r="B11" s="7" t="n">
        <v>2</v>
      </c>
      <c r="C11" s="4" t="inlineStr">
        <is>
          <t>ZATCA Core &amp; Onboarding</t>
        </is>
      </c>
      <c r="D11" s="5" t="inlineStr">
        <is>
          <t>ZATCA Core</t>
        </is>
      </c>
      <c r="E11" s="5" t="inlineStr">
        <is>
          <t>Validate core vs local ZATCA SDK (hash/sign)</t>
        </is>
      </c>
      <c r="F11" s="5" t="inlineStr">
        <is>
          <t>Byte-match SDK reference</t>
        </is>
      </c>
      <c r="G11" s="2" t="inlineStr">
        <is>
          <t>Claude</t>
        </is>
      </c>
      <c r="H11" s="8" t="inlineStr">
        <is>
          <t>To Do</t>
        </is>
      </c>
      <c r="I11" s="2" t="inlineStr"/>
      <c r="J11" s="2" t="inlineStr"/>
      <c r="K11" s="5" t="inlineStr">
        <is>
          <t>correctness gate</t>
        </is>
      </c>
    </row>
    <row r="12">
      <c r="A12" s="2" t="n">
        <v>11</v>
      </c>
      <c r="B12" s="7" t="n">
        <v>2</v>
      </c>
      <c r="C12" s="4" t="inlineStr">
        <is>
          <t>ZATCA Core &amp; Onboarding</t>
        </is>
      </c>
      <c r="D12" s="5" t="inlineStr">
        <is>
          <t>ZATCA Core</t>
        </is>
      </c>
      <c r="E12" s="5" t="inlineStr">
        <is>
          <t>Demo &lt;-&gt; Real environment switching</t>
        </is>
      </c>
      <c r="F12" s="5" t="inlineStr">
        <is>
          <t>Per-tenant environment</t>
        </is>
      </c>
      <c r="G12" s="2" t="inlineStr">
        <is>
          <t>Claude</t>
        </is>
      </c>
      <c r="H12" s="9" t="inlineStr">
        <is>
          <t>In Progress</t>
        </is>
      </c>
      <c r="I12" s="2" t="inlineStr"/>
      <c r="J12" s="2" t="inlineStr"/>
      <c r="K12" s="5" t="inlineStr"/>
    </row>
    <row r="13">
      <c r="A13" s="2" t="n">
        <v>12</v>
      </c>
      <c r="B13" s="3" t="n">
        <v>3</v>
      </c>
      <c r="C13" s="4" t="inlineStr">
        <is>
          <t>Adapters &amp; Async Pipeline</t>
        </is>
      </c>
      <c r="D13" s="5" t="inlineStr">
        <is>
          <t>Adapters</t>
        </is>
      </c>
      <c r="E13" s="5" t="inlineStr">
        <is>
          <t>Odoo adapter (JSON-RPC + webhook + write-back)</t>
        </is>
      </c>
      <c r="F13" s="5" t="inlineStr">
        <is>
          <t>Odoo end-to-end</t>
        </is>
      </c>
      <c r="G13" s="2" t="inlineStr">
        <is>
          <t>Claude</t>
        </is>
      </c>
      <c r="H13" s="6" t="inlineStr">
        <is>
          <t>Done</t>
        </is>
      </c>
      <c r="I13" s="2" t="inlineStr"/>
      <c r="J13" s="2" t="inlineStr"/>
      <c r="K13" s="5" t="inlineStr">
        <is>
          <t>ported in</t>
        </is>
      </c>
    </row>
    <row r="14">
      <c r="A14" s="2" t="n">
        <v>13</v>
      </c>
      <c r="B14" s="3" t="n">
        <v>3</v>
      </c>
      <c r="C14" s="4" t="inlineStr">
        <is>
          <t>Adapters &amp; Async Pipeline</t>
        </is>
      </c>
      <c r="D14" s="5" t="inlineStr">
        <is>
          <t>Adapters</t>
        </is>
      </c>
      <c r="E14" s="5" t="inlineStr">
        <is>
          <t>Zoho adapter (OAuth + webhook + write-back)</t>
        </is>
      </c>
      <c r="F14" s="5" t="inlineStr">
        <is>
          <t>Zoho end-to-end</t>
        </is>
      </c>
      <c r="G14" s="2" t="inlineStr">
        <is>
          <t>Claude</t>
        </is>
      </c>
      <c r="H14" s="6" t="inlineStr">
        <is>
          <t>Done</t>
        </is>
      </c>
      <c r="I14" s="2" t="inlineStr"/>
      <c r="J14" s="2" t="inlineStr"/>
      <c r="K14" s="5" t="inlineStr"/>
    </row>
    <row r="15">
      <c r="A15" s="2" t="n">
        <v>14</v>
      </c>
      <c r="B15" s="3" t="n">
        <v>3</v>
      </c>
      <c r="C15" s="4" t="inlineStr">
        <is>
          <t>Adapters &amp; Async Pipeline</t>
        </is>
      </c>
      <c r="D15" s="5" t="inlineStr">
        <is>
          <t>Adapters</t>
        </is>
      </c>
      <c r="E15" s="5" t="inlineStr">
        <is>
          <t>Real connection test + field provisioning</t>
        </is>
      </c>
      <c r="F15" s="5" t="inlineStr">
        <is>
          <t>No fake 'connected' states</t>
        </is>
      </c>
      <c r="G15" s="2" t="inlineStr">
        <is>
          <t>Claude</t>
        </is>
      </c>
      <c r="H15" s="6" t="inlineStr">
        <is>
          <t>Done</t>
        </is>
      </c>
      <c r="I15" s="2" t="inlineStr"/>
      <c r="J15" s="2" t="inlineStr"/>
      <c r="K15" s="5" t="inlineStr"/>
    </row>
    <row r="16">
      <c r="A16" s="2" t="n">
        <v>15</v>
      </c>
      <c r="B16" s="3" t="n">
        <v>3</v>
      </c>
      <c r="C16" s="4" t="inlineStr">
        <is>
          <t>Adapters &amp; Async Pipeline</t>
        </is>
      </c>
      <c r="D16" s="5" t="inlineStr">
        <is>
          <t>Pipeline</t>
        </is>
      </c>
      <c r="E16" s="5" t="inlineStr">
        <is>
          <t>Async jobs queue + /api/worker + retry/idempotency</t>
        </is>
      </c>
      <c r="F16" s="5" t="inlineStr">
        <is>
          <t>Reliable async clearance</t>
        </is>
      </c>
      <c r="G16" s="2" t="inlineStr">
        <is>
          <t>Claude</t>
        </is>
      </c>
      <c r="H16" s="8" t="inlineStr">
        <is>
          <t>To Do</t>
        </is>
      </c>
      <c r="I16" s="2" t="inlineStr"/>
      <c r="J16" s="2" t="inlineStr"/>
      <c r="K16" s="5" t="inlineStr">
        <is>
          <t>Doc 05 design</t>
        </is>
      </c>
    </row>
    <row r="17">
      <c r="A17" s="2" t="n">
        <v>16</v>
      </c>
      <c r="B17" s="3" t="n">
        <v>3</v>
      </c>
      <c r="C17" s="4" t="inlineStr">
        <is>
          <t>Adapters &amp; Async Pipeline</t>
        </is>
      </c>
      <c r="D17" s="5" t="inlineStr">
        <is>
          <t>Pipeline</t>
        </is>
      </c>
      <c r="E17" s="5" t="inlineStr">
        <is>
          <t>Verify invoice -&gt; clearance -&gt; write-back (simulation)</t>
        </is>
      </c>
      <c r="F17" s="5" t="inlineStr">
        <is>
          <t>Cleared invoice persists</t>
        </is>
      </c>
      <c r="G17" s="2" t="inlineStr">
        <is>
          <t>Claude</t>
        </is>
      </c>
      <c r="H17" s="9" t="inlineStr">
        <is>
          <t>In Progress</t>
        </is>
      </c>
      <c r="I17" s="2" t="inlineStr"/>
      <c r="J17" s="2" t="inlineStr"/>
      <c r="K17" s="5" t="inlineStr">
        <is>
          <t>needs migration 003</t>
        </is>
      </c>
    </row>
    <row r="18">
      <c r="A18" s="2" t="n">
        <v>17</v>
      </c>
      <c r="B18" s="7" t="n">
        <v>4</v>
      </c>
      <c r="C18" s="4" t="inlineStr">
        <is>
          <t>Application Surfaces (UX)</t>
        </is>
      </c>
      <c r="D18" s="5" t="inlineStr">
        <is>
          <t>UX</t>
        </is>
      </c>
      <c r="E18" s="5" t="inlineStr">
        <is>
          <t>Navigable onboarding journey (clickable steps)</t>
        </is>
      </c>
      <c r="F18" s="5" t="inlineStr">
        <is>
          <t>No dead-ends</t>
        </is>
      </c>
      <c r="G18" s="2" t="inlineStr">
        <is>
          <t>Claude</t>
        </is>
      </c>
      <c r="H18" s="6" t="inlineStr">
        <is>
          <t>Done</t>
        </is>
      </c>
      <c r="I18" s="2" t="inlineStr"/>
      <c r="J18" s="2" t="inlineStr"/>
      <c r="K18" s="5" t="inlineStr"/>
    </row>
    <row r="19">
      <c r="A19" s="2" t="n">
        <v>18</v>
      </c>
      <c r="B19" s="7" t="n">
        <v>4</v>
      </c>
      <c r="C19" s="4" t="inlineStr">
        <is>
          <t>Application Surfaces (UX)</t>
        </is>
      </c>
      <c r="D19" s="5" t="inlineStr">
        <is>
          <t>UX</t>
        </is>
      </c>
      <c r="E19" s="5" t="inlineStr">
        <is>
          <t>Business profile (seller identity)</t>
        </is>
      </c>
      <c r="F19" s="5" t="inlineStr">
        <is>
          <t>Saves to organization</t>
        </is>
      </c>
      <c r="G19" s="2" t="inlineStr">
        <is>
          <t>Claude</t>
        </is>
      </c>
      <c r="H19" s="6" t="inlineStr">
        <is>
          <t>Done</t>
        </is>
      </c>
      <c r="I19" s="2" t="inlineStr"/>
      <c r="J19" s="2" t="inlineStr"/>
      <c r="K19" s="5" t="inlineStr"/>
    </row>
    <row r="20">
      <c r="A20" s="2" t="n">
        <v>19</v>
      </c>
      <c r="B20" s="7" t="n">
        <v>4</v>
      </c>
      <c r="C20" s="4" t="inlineStr">
        <is>
          <t>Application Surfaces (UX)</t>
        </is>
      </c>
      <c r="D20" s="5" t="inlineStr">
        <is>
          <t>UX</t>
        </is>
      </c>
      <c r="E20" s="5" t="inlineStr">
        <is>
          <t>Invoices list + detail (real tenant data)</t>
        </is>
      </c>
      <c r="F20" s="5" t="inlineStr">
        <is>
          <t>Real invoices shown</t>
        </is>
      </c>
      <c r="G20" s="2" t="inlineStr">
        <is>
          <t>Claude</t>
        </is>
      </c>
      <c r="H20" s="6" t="inlineStr">
        <is>
          <t>Done</t>
        </is>
      </c>
      <c r="I20" s="2" t="inlineStr"/>
      <c r="J20" s="2" t="inlineStr"/>
      <c r="K20" s="5" t="inlineStr"/>
    </row>
    <row r="21">
      <c r="A21" s="2" t="n">
        <v>20</v>
      </c>
      <c r="B21" s="7" t="n">
        <v>4</v>
      </c>
      <c r="C21" s="4" t="inlineStr">
        <is>
          <t>Application Surfaces (UX)</t>
        </is>
      </c>
      <c r="D21" s="5" t="inlineStr">
        <is>
          <t>UX</t>
        </is>
      </c>
      <c r="E21" s="5" t="inlineStr">
        <is>
          <t>Dashboard: real KPIs + recent invoices</t>
        </is>
      </c>
      <c r="F21" s="5" t="inlineStr">
        <is>
          <t>Live dashboard</t>
        </is>
      </c>
      <c r="G21" s="2" t="inlineStr">
        <is>
          <t>Claude</t>
        </is>
      </c>
      <c r="H21" s="8" t="inlineStr">
        <is>
          <t>To Do</t>
        </is>
      </c>
      <c r="I21" s="2" t="inlineStr"/>
      <c r="J21" s="2" t="inlineStr"/>
      <c r="K21" s="5" t="inlineStr"/>
    </row>
    <row r="22">
      <c r="A22" s="2" t="n">
        <v>21</v>
      </c>
      <c r="B22" s="7" t="n">
        <v>4</v>
      </c>
      <c r="C22" s="4" t="inlineStr">
        <is>
          <t>Application Surfaces (UX)</t>
        </is>
      </c>
      <c r="D22" s="5" t="inlineStr">
        <is>
          <t>UX</t>
        </is>
      </c>
      <c r="E22" s="5" t="inlineStr">
        <is>
          <t>Settings: connection / API keys / team</t>
        </is>
      </c>
      <c r="F22" s="5" t="inlineStr">
        <is>
          <t>3 settings screens</t>
        </is>
      </c>
      <c r="G22" s="2" t="inlineStr">
        <is>
          <t>Claude</t>
        </is>
      </c>
      <c r="H22" s="8" t="inlineStr">
        <is>
          <t>To Do</t>
        </is>
      </c>
      <c r="I22" s="2" t="inlineStr"/>
      <c r="J22" s="2" t="inlineStr"/>
      <c r="K22" s="5" t="inlineStr"/>
    </row>
    <row r="23">
      <c r="A23" s="2" t="n">
        <v>22</v>
      </c>
      <c r="B23" s="7" t="n">
        <v>4</v>
      </c>
      <c r="C23" s="4" t="inlineStr">
        <is>
          <t>Application Surfaces (UX)</t>
        </is>
      </c>
      <c r="D23" s="5" t="inlineStr">
        <is>
          <t>UX</t>
        </is>
      </c>
      <c r="E23" s="5" t="inlineStr">
        <is>
          <t>Remove old/dead pages (bank, register, admin)</t>
        </is>
      </c>
      <c r="F23" s="5" t="inlineStr">
        <is>
          <t>One clean design + data model</t>
        </is>
      </c>
      <c r="G23" s="2" t="inlineStr">
        <is>
          <t>Claude</t>
        </is>
      </c>
      <c r="H23" s="8" t="inlineStr">
        <is>
          <t>To Do</t>
        </is>
      </c>
      <c r="I23" s="2" t="inlineStr"/>
      <c r="J23" s="2" t="inlineStr"/>
      <c r="K23" s="5" t="inlineStr">
        <is>
          <t>cleanup</t>
        </is>
      </c>
    </row>
    <row r="24">
      <c r="A24" s="2" t="n">
        <v>23</v>
      </c>
      <c r="B24" s="3" t="n">
        <v>5</v>
      </c>
      <c r="C24" s="4" t="inlineStr">
        <is>
          <t>Notifications, Go-Live &amp; Admin</t>
        </is>
      </c>
      <c r="D24" s="5" t="inlineStr">
        <is>
          <t>Notifications</t>
        </is>
      </c>
      <c r="E24" s="5" t="inlineStr">
        <is>
          <t>Email alerts (Resend): failures + CSID expiry</t>
        </is>
      </c>
      <c r="F24" s="5" t="inlineStr">
        <is>
          <t>Tenants notified</t>
        </is>
      </c>
      <c r="G24" s="2" t="inlineStr">
        <is>
          <t>Claude</t>
        </is>
      </c>
      <c r="H24" s="8" t="inlineStr">
        <is>
          <t>To Do</t>
        </is>
      </c>
      <c r="I24" s="2" t="inlineStr"/>
      <c r="J24" s="2" t="inlineStr"/>
      <c r="K24" s="5" t="inlineStr"/>
    </row>
    <row r="25">
      <c r="A25" s="2" t="n">
        <v>24</v>
      </c>
      <c r="B25" s="3" t="n">
        <v>5</v>
      </c>
      <c r="C25" s="4" t="inlineStr">
        <is>
          <t>Notifications, Go-Live &amp; Admin</t>
        </is>
      </c>
      <c r="D25" s="5" t="inlineStr">
        <is>
          <t>Go-Live</t>
        </is>
      </c>
      <c r="E25" s="5" t="inlineStr">
        <is>
          <t>Demo -&gt; Real (production onboarding) flow</t>
        </is>
      </c>
      <c r="F25" s="5" t="inlineStr">
        <is>
          <t>Switch a tenant to live</t>
        </is>
      </c>
      <c r="G25" s="2" t="inlineStr">
        <is>
          <t>Claude</t>
        </is>
      </c>
      <c r="H25" s="8" t="inlineStr">
        <is>
          <t>To Do</t>
        </is>
      </c>
      <c r="I25" s="2" t="inlineStr"/>
      <c r="J25" s="2" t="inlineStr"/>
      <c r="K25" s="5" t="inlineStr"/>
    </row>
    <row r="26">
      <c r="A26" s="2" t="n">
        <v>25</v>
      </c>
      <c r="B26" s="3" t="n">
        <v>5</v>
      </c>
      <c r="C26" s="4" t="inlineStr">
        <is>
          <t>Notifications, Go-Live &amp; Admin</t>
        </is>
      </c>
      <c r="D26" s="5" t="inlineStr">
        <is>
          <t>Reliability</t>
        </is>
      </c>
      <c r="E26" s="5" t="inlineStr">
        <is>
          <t>CSID expiry tracking + warnings</t>
        </is>
      </c>
      <c r="F26" s="5" t="inlineStr">
        <is>
          <t>Warn at 30/14/3 days</t>
        </is>
      </c>
      <c r="G26" s="2" t="inlineStr">
        <is>
          <t>Claude</t>
        </is>
      </c>
      <c r="H26" s="8" t="inlineStr">
        <is>
          <t>To Do</t>
        </is>
      </c>
      <c r="I26" s="2" t="inlineStr"/>
      <c r="J26" s="2" t="inlineStr"/>
      <c r="K26" s="5" t="inlineStr"/>
    </row>
    <row r="27">
      <c r="A27" s="2" t="n">
        <v>26</v>
      </c>
      <c r="B27" s="3" t="n">
        <v>5</v>
      </c>
      <c r="C27" s="4" t="inlineStr">
        <is>
          <t>Notifications, Go-Live &amp; Admin</t>
        </is>
      </c>
      <c r="D27" s="5" t="inlineStr">
        <is>
          <t>Admin</t>
        </is>
      </c>
      <c r="E27" s="5" t="inlineStr">
        <is>
          <t>CBT admin console (cross-tenant support)</t>
        </is>
      </c>
      <c r="F27" s="5" t="inlineStr">
        <is>
          <t>Internal support view</t>
        </is>
      </c>
      <c r="G27" s="2" t="inlineStr">
        <is>
          <t>Claude</t>
        </is>
      </c>
      <c r="H27" s="8" t="inlineStr">
        <is>
          <t>To Do</t>
        </is>
      </c>
      <c r="I27" s="2" t="inlineStr"/>
      <c r="J27" s="2" t="inlineStr"/>
      <c r="K27" s="5" t="inlineStr"/>
    </row>
    <row r="28">
      <c r="A28" s="2" t="n">
        <v>27</v>
      </c>
      <c r="B28" s="3" t="n">
        <v>5</v>
      </c>
      <c r="C28" s="4" t="inlineStr">
        <is>
          <t>Notifications, Go-Live &amp; Admin</t>
        </is>
      </c>
      <c r="D28" s="5" t="inlineStr">
        <is>
          <t>Docs</t>
        </is>
      </c>
      <c r="E28" s="5" t="inlineStr">
        <is>
          <t>API docs page (Mode B) + self-serve guides</t>
        </is>
      </c>
      <c r="F28" s="5" t="inlineStr">
        <is>
          <t>Customer-facing docs</t>
        </is>
      </c>
      <c r="G28" s="2" t="inlineStr">
        <is>
          <t>Claude</t>
        </is>
      </c>
      <c r="H28" s="8" t="inlineStr">
        <is>
          <t>To Do</t>
        </is>
      </c>
      <c r="I28" s="2" t="inlineStr"/>
      <c r="J28" s="2" t="inlineStr"/>
      <c r="K28" s="5" t="inlineStr"/>
    </row>
    <row r="29">
      <c r="A29" s="2" t="n">
        <v>28</v>
      </c>
      <c r="B29" s="7" t="n">
        <v>6</v>
      </c>
      <c r="C29" s="4" t="inlineStr">
        <is>
          <t>Testing &amp; QA</t>
        </is>
      </c>
      <c r="D29" s="5" t="inlineStr">
        <is>
          <t>Testing</t>
        </is>
      </c>
      <c r="E29" s="5" t="inlineStr">
        <is>
          <t>Unit tests (crypto / xml / qr / validation)</t>
        </is>
      </c>
      <c r="F29" s="5" t="inlineStr">
        <is>
          <t>Green unit suite (~90%)</t>
        </is>
      </c>
      <c r="G29" s="2" t="inlineStr">
        <is>
          <t>Claude</t>
        </is>
      </c>
      <c r="H29" s="8" t="inlineStr">
        <is>
          <t>To Do</t>
        </is>
      </c>
      <c r="I29" s="2" t="inlineStr"/>
      <c r="J29" s="2" t="inlineStr"/>
      <c r="K29" s="5" t="inlineStr"/>
    </row>
    <row r="30">
      <c r="A30" s="2" t="n">
        <v>29</v>
      </c>
      <c r="B30" s="7" t="n">
        <v>6</v>
      </c>
      <c r="C30" s="4" t="inlineStr">
        <is>
          <t>Testing &amp; QA</t>
        </is>
      </c>
      <c r="D30" s="5" t="inlineStr">
        <is>
          <t>Testing</t>
        </is>
      </c>
      <c r="E30" s="5" t="inlineStr">
        <is>
          <t>Integration tests (adapters / queue / write-back)</t>
        </is>
      </c>
      <c r="F30" s="5" t="inlineStr">
        <is>
          <t>Green integration suite</t>
        </is>
      </c>
      <c r="G30" s="2" t="inlineStr">
        <is>
          <t>Claude</t>
        </is>
      </c>
      <c r="H30" s="8" t="inlineStr">
        <is>
          <t>To Do</t>
        </is>
      </c>
      <c r="I30" s="2" t="inlineStr"/>
      <c r="J30" s="2" t="inlineStr"/>
      <c r="K30" s="5" t="inlineStr"/>
    </row>
    <row r="31">
      <c r="A31" s="2" t="n">
        <v>30</v>
      </c>
      <c r="B31" s="7" t="n">
        <v>6</v>
      </c>
      <c r="C31" s="4" t="inlineStr">
        <is>
          <t>Testing &amp; QA</t>
        </is>
      </c>
      <c r="D31" s="5" t="inlineStr">
        <is>
          <t>Testing</t>
        </is>
      </c>
      <c r="E31" s="5" t="inlineStr">
        <is>
          <t>E2E tests (Playwright: onboarding -&gt; invoice)</t>
        </is>
      </c>
      <c r="F31" s="5" t="inlineStr">
        <is>
          <t>Critical journeys covered</t>
        </is>
      </c>
      <c r="G31" s="2" t="inlineStr">
        <is>
          <t>Claude</t>
        </is>
      </c>
      <c r="H31" s="8" t="inlineStr">
        <is>
          <t>To Do</t>
        </is>
      </c>
      <c r="I31" s="2" t="inlineStr"/>
      <c r="J31" s="2" t="inlineStr"/>
      <c r="K31" s="5" t="inlineStr"/>
    </row>
    <row r="32">
      <c r="A32" s="2" t="n">
        <v>31</v>
      </c>
      <c r="B32" s="7" t="n">
        <v>6</v>
      </c>
      <c r="C32" s="4" t="inlineStr">
        <is>
          <t>Testing &amp; QA</t>
        </is>
      </c>
      <c r="D32" s="5" t="inlineStr">
        <is>
          <t>Testing</t>
        </is>
      </c>
      <c r="E32" s="5" t="inlineStr">
        <is>
          <t>Compliance validation vs SDK (clear/report/notes)</t>
        </is>
      </c>
      <c r="F32" s="5" t="inlineStr">
        <is>
          <t>Compliance proven</t>
        </is>
      </c>
      <c r="G32" s="2" t="inlineStr">
        <is>
          <t>Claude</t>
        </is>
      </c>
      <c r="H32" s="8" t="inlineStr">
        <is>
          <t>To Do</t>
        </is>
      </c>
      <c r="I32" s="2" t="inlineStr"/>
      <c r="J32" s="2" t="inlineStr"/>
      <c r="K32" s="5" t="inlineStr"/>
    </row>
    <row r="33">
      <c r="A33" s="2" t="n">
        <v>32</v>
      </c>
      <c r="B33" s="7" t="n">
        <v>6</v>
      </c>
      <c r="C33" s="4" t="inlineStr">
        <is>
          <t>Testing &amp; QA</t>
        </is>
      </c>
      <c r="D33" s="5" t="inlineStr">
        <is>
          <t>Security</t>
        </is>
      </c>
      <c r="E33" s="5" t="inlineStr">
        <is>
          <t>Security pass (RLS isolation, secrets, rate-limit)</t>
        </is>
      </c>
      <c r="F33" s="5" t="inlineStr">
        <is>
          <t>Hardened</t>
        </is>
      </c>
      <c r="G33" s="2" t="inlineStr">
        <is>
          <t>Claude</t>
        </is>
      </c>
      <c r="H33" s="8" t="inlineStr">
        <is>
          <t>To Do</t>
        </is>
      </c>
      <c r="I33" s="2" t="inlineStr"/>
      <c r="J33" s="2" t="inlineStr"/>
      <c r="K33" s="5" t="inlineStr"/>
    </row>
    <row r="34">
      <c r="A34" s="2" t="n">
        <v>33</v>
      </c>
      <c r="B34" s="7" t="n">
        <v>6</v>
      </c>
      <c r="C34" s="4" t="inlineStr">
        <is>
          <t>Testing &amp; QA</t>
        </is>
      </c>
      <c r="D34" s="5" t="inlineStr">
        <is>
          <t>Testing</t>
        </is>
      </c>
      <c r="E34" s="5" t="inlineStr">
        <is>
          <t>Bug triage + fixes</t>
        </is>
      </c>
      <c r="F34" s="5" t="inlineStr">
        <is>
          <t>Stable build</t>
        </is>
      </c>
      <c r="G34" s="2" t="inlineStr">
        <is>
          <t>Claude</t>
        </is>
      </c>
      <c r="H34" s="8" t="inlineStr">
        <is>
          <t>To Do</t>
        </is>
      </c>
      <c r="I34" s="2" t="inlineStr"/>
      <c r="J34" s="2" t="inlineStr"/>
      <c r="K34" s="5" t="inlineStr"/>
    </row>
    <row r="35">
      <c r="A35" s="2" t="n">
        <v>34</v>
      </c>
      <c r="B35" s="3" t="n">
        <v>7</v>
      </c>
      <c r="C35" s="4" t="inlineStr">
        <is>
          <t>Hardening, Deploy &amp; Launch</t>
        </is>
      </c>
      <c r="D35" s="5" t="inlineStr">
        <is>
          <t>Deploy</t>
        </is>
      </c>
      <c r="E35" s="5" t="inlineStr">
        <is>
          <t>Vercel production deploy + env vars</t>
        </is>
      </c>
      <c r="F35" s="5" t="inlineStr">
        <is>
          <t>Live public URL</t>
        </is>
      </c>
      <c r="G35" s="2" t="inlineStr">
        <is>
          <t>Claude + User</t>
        </is>
      </c>
      <c r="H35" s="8" t="inlineStr">
        <is>
          <t>To Do</t>
        </is>
      </c>
      <c r="I35" s="2" t="inlineStr"/>
      <c r="J35" s="2" t="inlineStr"/>
      <c r="K35" s="5" t="inlineStr">
        <is>
          <t>user provides Vercel</t>
        </is>
      </c>
    </row>
    <row r="36">
      <c r="A36" s="2" t="n">
        <v>35</v>
      </c>
      <c r="B36" s="3" t="n">
        <v>7</v>
      </c>
      <c r="C36" s="4" t="inlineStr">
        <is>
          <t>Hardening, Deploy &amp; Launch</t>
        </is>
      </c>
      <c r="D36" s="5" t="inlineStr">
        <is>
          <t>Deploy</t>
        </is>
      </c>
      <c r="E36" s="5" t="inlineStr">
        <is>
          <t>Update Google/Supabase redirect URLs to live domain</t>
        </is>
      </c>
      <c r="F36" s="5" t="inlineStr">
        <is>
          <t>Auth works in production</t>
        </is>
      </c>
      <c r="G36" s="2" t="inlineStr">
        <is>
          <t>Claude + User</t>
        </is>
      </c>
      <c r="H36" s="8" t="inlineStr">
        <is>
          <t>To Do</t>
        </is>
      </c>
      <c r="I36" s="2" t="inlineStr"/>
      <c r="J36" s="2" t="inlineStr"/>
      <c r="K36" s="5" t="inlineStr"/>
    </row>
    <row r="37">
      <c r="A37" s="2" t="n">
        <v>36</v>
      </c>
      <c r="B37" s="3" t="n">
        <v>7</v>
      </c>
      <c r="C37" s="4" t="inlineStr">
        <is>
          <t>Hardening, Deploy &amp; Launch</t>
        </is>
      </c>
      <c r="D37" s="5" t="inlineStr">
        <is>
          <t>Deploy</t>
        </is>
      </c>
      <c r="E37" s="5" t="inlineStr">
        <is>
          <t>Smoke tests + monitoring/logging</t>
        </is>
      </c>
      <c r="F37" s="5" t="inlineStr">
        <is>
          <t>Verified production</t>
        </is>
      </c>
      <c r="G37" s="2" t="inlineStr">
        <is>
          <t>Claude</t>
        </is>
      </c>
      <c r="H37" s="8" t="inlineStr">
        <is>
          <t>To Do</t>
        </is>
      </c>
      <c r="I37" s="2" t="inlineStr"/>
      <c r="J37" s="2" t="inlineStr"/>
      <c r="K37" s="5" t="inlineStr"/>
    </row>
    <row r="38">
      <c r="A38" s="2" t="n">
        <v>37</v>
      </c>
      <c r="B38" s="3" t="n">
        <v>7</v>
      </c>
      <c r="C38" s="4" t="inlineStr">
        <is>
          <t>Hardening, Deploy &amp; Launch</t>
        </is>
      </c>
      <c r="D38" s="5" t="inlineStr">
        <is>
          <t>Launch</t>
        </is>
      </c>
      <c r="E38" s="5" t="inlineStr">
        <is>
          <t>Documentation + demo walkthrough</t>
        </is>
      </c>
      <c r="F38" s="5" t="inlineStr">
        <is>
          <t>Handoff package</t>
        </is>
      </c>
      <c r="G38" s="2" t="inlineStr">
        <is>
          <t>Claude</t>
        </is>
      </c>
      <c r="H38" s="8" t="inlineStr">
        <is>
          <t>To Do</t>
        </is>
      </c>
      <c r="I38" s="2" t="inlineStr"/>
      <c r="J38" s="2" t="inlineStr"/>
      <c r="K38" s="5" t="inlineStr"/>
    </row>
    <row r="39">
      <c r="A39" s="2" t="n">
        <v>38</v>
      </c>
      <c r="B39" s="3" t="n">
        <v>7</v>
      </c>
      <c r="C39" s="4" t="inlineStr">
        <is>
          <t>Hardening, Deploy &amp; Launch</t>
        </is>
      </c>
      <c r="D39" s="5" t="inlineStr">
        <is>
          <t>Launch</t>
        </is>
      </c>
      <c r="E39" s="5" t="inlineStr">
        <is>
          <t>UAT vs real ZATCA env + production cutover</t>
        </is>
      </c>
      <c r="F39" s="5" t="inlineStr">
        <is>
          <t>Go-live readiness</t>
        </is>
      </c>
      <c r="G39" s="2" t="inlineStr">
        <is>
          <t>User + ZATCA</t>
        </is>
      </c>
      <c r="H39" s="8" t="inlineStr">
        <is>
          <t>To Do</t>
        </is>
      </c>
      <c r="I39" s="2" t="inlineStr"/>
      <c r="J39" s="2" t="inlineStr"/>
      <c r="K39" s="5" t="inlineStr">
        <is>
          <t>external dependency</t>
        </is>
      </c>
    </row>
    <row r="40">
      <c r="A40" s="2" t="n">
        <v>39</v>
      </c>
      <c r="B40" s="3" t="n">
        <v>7</v>
      </c>
      <c r="C40" s="4" t="inlineStr">
        <is>
          <t>Hardening, Deploy &amp; Launch</t>
        </is>
      </c>
      <c r="D40" s="5" t="inlineStr">
        <is>
          <t>Launch</t>
        </is>
      </c>
      <c r="E40" s="5" t="inlineStr">
        <is>
          <t>Marketing: SEO/AEO on CBT website (parallel)</t>
        </is>
      </c>
      <c r="F40" s="5" t="inlineStr">
        <is>
          <t>Discoverable product</t>
        </is>
      </c>
      <c r="G40" s="2" t="inlineStr">
        <is>
          <t>User</t>
        </is>
      </c>
      <c r="H40" s="8" t="inlineStr">
        <is>
          <t>To Do</t>
        </is>
      </c>
      <c r="I40" s="2" t="inlineStr"/>
      <c r="J40" s="2" t="inlineStr"/>
      <c r="K40" s="5" t="inlineStr">
        <is>
          <t>GTM</t>
        </is>
      </c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0" t="inlineStr">
        <is>
          <t>ZATCA Compliance Middleware — 7-Day Plan to Production</t>
        </is>
      </c>
    </row>
    <row r="2">
      <c r="A2" s="11" t="inlineStr">
        <is>
          <t>Convergent BT  ·  Demo build on ZATCA simulation, then UAT, then Production</t>
        </is>
      </c>
    </row>
    <row r="4">
      <c r="A4" s="12" t="inlineStr">
        <is>
          <t>Overall</t>
        </is>
      </c>
    </row>
    <row r="5">
      <c r="A5" s="13" t="inlineStr">
        <is>
          <t>Total tasks</t>
        </is>
      </c>
      <c r="B5" s="14">
        <f>COUNTA('7-Day Plan'!E2:E40)</f>
        <v/>
      </c>
    </row>
    <row r="6">
      <c r="A6" s="13" t="inlineStr">
        <is>
          <t>Done</t>
        </is>
      </c>
      <c r="B6" s="14">
        <f>COUNTIF('7-Day Plan'!H2:H40,"Done")</f>
        <v/>
      </c>
    </row>
    <row r="7">
      <c r="A7" s="13" t="inlineStr">
        <is>
          <t>In Progress</t>
        </is>
      </c>
      <c r="B7" s="14">
        <f>COUNTIF('7-Day Plan'!H2:H40,"In Progress")</f>
        <v/>
      </c>
    </row>
    <row r="8">
      <c r="A8" s="13" t="inlineStr">
        <is>
          <t>To Do</t>
        </is>
      </c>
      <c r="B8" s="14">
        <f>COUNTIF('7-Day Plan'!H2:H40,"To Do")</f>
        <v/>
      </c>
    </row>
    <row r="9">
      <c r="A9" s="13" t="inlineStr">
        <is>
          <t>% Complete</t>
        </is>
      </c>
      <c r="B9" s="15">
        <f>ROUND(COUNTIF('7-Day Plan'!H2:H40,"Done")/COUNTA('7-Day Plan'!E2:E40),3)</f>
        <v/>
      </c>
    </row>
    <row r="12">
      <c r="A12" s="16" t="inlineStr">
        <is>
          <t>Day</t>
        </is>
      </c>
      <c r="B12" s="16" t="inlineStr">
        <is>
          <t>Theme</t>
        </is>
      </c>
      <c r="C12" s="16" t="inlineStr">
        <is>
          <t>Tasks</t>
        </is>
      </c>
      <c r="D12" s="16" t="inlineStr">
        <is>
          <t>Done</t>
        </is>
      </c>
      <c r="E12" s="16" t="inlineStr">
        <is>
          <t>In Prog.</t>
        </is>
      </c>
      <c r="F12" s="16" t="inlineStr">
        <is>
          <t>To Do</t>
        </is>
      </c>
    </row>
    <row r="13">
      <c r="A13" s="17" t="n">
        <v>1</v>
      </c>
      <c r="B13" s="18" t="inlineStr">
        <is>
          <t>Foundation &amp; Infrastructure</t>
        </is>
      </c>
      <c r="C13" s="17">
        <f>COUNTIFS('7-Day Plan'!B2:B40,1)</f>
        <v/>
      </c>
      <c r="D13" s="17">
        <f>COUNTIFS('7-Day Plan'!B2:B40,1,'7-Day Plan'!H2:H40,"Done")</f>
        <v/>
      </c>
      <c r="E13" s="17">
        <f>COUNTIFS('7-Day Plan'!B2:B40,1,'7-Day Plan'!H2:H40,"In Progress")</f>
        <v/>
      </c>
      <c r="F13" s="17">
        <f>COUNTIFS('7-Day Plan'!B2:B40,1,'7-Day Plan'!H2:H40,"To Do")</f>
        <v/>
      </c>
    </row>
    <row r="14">
      <c r="A14" s="17" t="n">
        <v>2</v>
      </c>
      <c r="B14" s="18" t="inlineStr">
        <is>
          <t>ZATCA Core &amp; Onboarding</t>
        </is>
      </c>
      <c r="C14" s="17">
        <f>COUNTIFS('7-Day Plan'!B2:B40,2)</f>
        <v/>
      </c>
      <c r="D14" s="17">
        <f>COUNTIFS('7-Day Plan'!B2:B40,2,'7-Day Plan'!H2:H40,"Done")</f>
        <v/>
      </c>
      <c r="E14" s="17">
        <f>COUNTIFS('7-Day Plan'!B2:B40,2,'7-Day Plan'!H2:H40,"In Progress")</f>
        <v/>
      </c>
      <c r="F14" s="17">
        <f>COUNTIFS('7-Day Plan'!B2:B40,2,'7-Day Plan'!H2:H40,"To Do")</f>
        <v/>
      </c>
    </row>
    <row r="15">
      <c r="A15" s="17" t="n">
        <v>3</v>
      </c>
      <c r="B15" s="18" t="inlineStr">
        <is>
          <t>Adapters &amp; Async Pipeline</t>
        </is>
      </c>
      <c r="C15" s="17">
        <f>COUNTIFS('7-Day Plan'!B2:B40,3)</f>
        <v/>
      </c>
      <c r="D15" s="17">
        <f>COUNTIFS('7-Day Plan'!B2:B40,3,'7-Day Plan'!H2:H40,"Done")</f>
        <v/>
      </c>
      <c r="E15" s="17">
        <f>COUNTIFS('7-Day Plan'!B2:B40,3,'7-Day Plan'!H2:H40,"In Progress")</f>
        <v/>
      </c>
      <c r="F15" s="17">
        <f>COUNTIFS('7-Day Plan'!B2:B40,3,'7-Day Plan'!H2:H40,"To Do")</f>
        <v/>
      </c>
    </row>
    <row r="16">
      <c r="A16" s="17" t="n">
        <v>4</v>
      </c>
      <c r="B16" s="18" t="inlineStr">
        <is>
          <t>Application Surfaces (UX)</t>
        </is>
      </c>
      <c r="C16" s="17">
        <f>COUNTIFS('7-Day Plan'!B2:B40,4)</f>
        <v/>
      </c>
      <c r="D16" s="17">
        <f>COUNTIFS('7-Day Plan'!B2:B40,4,'7-Day Plan'!H2:H40,"Done")</f>
        <v/>
      </c>
      <c r="E16" s="17">
        <f>COUNTIFS('7-Day Plan'!B2:B40,4,'7-Day Plan'!H2:H40,"In Progress")</f>
        <v/>
      </c>
      <c r="F16" s="17">
        <f>COUNTIFS('7-Day Plan'!B2:B40,4,'7-Day Plan'!H2:H40,"To Do")</f>
        <v/>
      </c>
    </row>
    <row r="17">
      <c r="A17" s="17" t="n">
        <v>5</v>
      </c>
      <c r="B17" s="18" t="inlineStr">
        <is>
          <t>Notifications, Go-Live &amp; Admin</t>
        </is>
      </c>
      <c r="C17" s="17">
        <f>COUNTIFS('7-Day Plan'!B2:B40,5)</f>
        <v/>
      </c>
      <c r="D17" s="17">
        <f>COUNTIFS('7-Day Plan'!B2:B40,5,'7-Day Plan'!H2:H40,"Done")</f>
        <v/>
      </c>
      <c r="E17" s="17">
        <f>COUNTIFS('7-Day Plan'!B2:B40,5,'7-Day Plan'!H2:H40,"In Progress")</f>
        <v/>
      </c>
      <c r="F17" s="17">
        <f>COUNTIFS('7-Day Plan'!B2:B40,5,'7-Day Plan'!H2:H40,"To Do")</f>
        <v/>
      </c>
    </row>
    <row r="18">
      <c r="A18" s="17" t="n">
        <v>6</v>
      </c>
      <c r="B18" s="18" t="inlineStr">
        <is>
          <t>Testing &amp; QA</t>
        </is>
      </c>
      <c r="C18" s="17">
        <f>COUNTIFS('7-Day Plan'!B2:B40,6)</f>
        <v/>
      </c>
      <c r="D18" s="17">
        <f>COUNTIFS('7-Day Plan'!B2:B40,6,'7-Day Plan'!H2:H40,"Done")</f>
        <v/>
      </c>
      <c r="E18" s="17">
        <f>COUNTIFS('7-Day Plan'!B2:B40,6,'7-Day Plan'!H2:H40,"In Progress")</f>
        <v/>
      </c>
      <c r="F18" s="17">
        <f>COUNTIFS('7-Day Plan'!B2:B40,6,'7-Day Plan'!H2:H40,"To Do")</f>
        <v/>
      </c>
    </row>
    <row r="19">
      <c r="A19" s="17" t="n">
        <v>7</v>
      </c>
      <c r="B19" s="18" t="inlineStr">
        <is>
          <t>Hardening, Deploy &amp; Launch</t>
        </is>
      </c>
      <c r="C19" s="17">
        <f>COUNTIFS('7-Day Plan'!B2:B40,7)</f>
        <v/>
      </c>
      <c r="D19" s="17">
        <f>COUNTIFS('7-Day Plan'!B2:B40,7,'7-Day Plan'!H2:H40,"Done")</f>
        <v/>
      </c>
      <c r="E19" s="17">
        <f>COUNTIFS('7-Day Plan'!B2:B40,7,'7-Day Plan'!H2:H40,"In Progress")</f>
        <v/>
      </c>
      <c r="F19" s="17">
        <f>COUNTIFS('7-Day Plan'!B2:B40,7,'7-Day Plan'!H2:H40,"To Do")</f>
        <v/>
      </c>
    </row>
    <row r="22">
      <c r="A22" s="14" t="inlineStr">
        <is>
          <t>Legend</t>
        </is>
      </c>
    </row>
    <row r="23">
      <c r="A23" s="19" t="inlineStr">
        <is>
          <t>Done</t>
        </is>
      </c>
    </row>
    <row r="24">
      <c r="A24" s="20" t="inlineStr">
        <is>
          <t>In Progress</t>
        </is>
      </c>
    </row>
    <row r="25">
      <c r="A25" s="2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2026-06-22T07:10:38Z</dcterms:created>
  <dcterms:modified xmlns:dcterms="http://purl.org/dc/terms/" xmlns:xsi="http://www.w3.org/2001/XMLSchema-instance" xsi:type="dcterms:W3CDTF">2026-06-22T07:10:38Z</dcterms:modified>
</cp:coreProperties>
</file>